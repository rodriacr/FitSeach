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1 - FitSearc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<sst xmlns="http://schemas.openxmlformats.org/spreadsheetml/2006/main" count="16" uniqueCount="16">
  <si>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Control del Sprint</t>
  </si>
  <si>
    <t xml:space="preserve">Sprint 1 - FitSearch</t>
  </si>
  <si>
    <t xml:space="preserve">Historias de Usuario o Tarea</t>
  </si>
  <si>
    <t xml:space="preserve">horas estimadas</t>
  </si>
  <si>
    <t xml:space="preserve">DIA</t>
  </si>
  <si>
    <t xml:space="preserve">FS-HU-01 · Configurar proyecto backend Node.js/Express y conexión a MySQL</t>
  </si>
  <si>
    <t xml:space="preserve">FS-HU-01 · Implementar endpoints de registro y login (JWT, hash de contraseña)</t>
  </si>
  <si>
    <t xml:space="preserve">FS-HU-01 · Construir pantallas de registro e inicio de sesión (Frontend)</t>
  </si>
  <si>
    <t xml:space="preserve">FS-HU-01 · Pruebas manuales de registro y login</t>
  </si>
  <si>
    <t xml:space="preserve">FS-HU-02 · Diseñar el diagrama entidad-relación completo del proyecto</t>
  </si>
  <si>
    <t xml:space="preserve">FS-HU-02 · Crear tablas de usuarios y roles en MySQL</t>
  </si>
  <si>
    <t xml:space="preserve">FS-HU-02 · Construir formulario de datos básicos del perfil (Frontend)</t>
  </si>
  <si>
    <t xml:space="preserve">FS-HU-02 · Documentar instrucciones de instalación en README</t>
  </si>
  <si>
    <t xml:space="preserve">Reales de producto por realizar</t>
  </si>
  <si>
    <t xml:space="preserve">Estimadas de producto por realizar (línea ideal)</t>
  </si>
  <si>
    <t xml:space="preserve">Nota: este es el burndown inicial del Sprint 1, antes de comenzar (semanas 5-6). Solo muestra el total de horas estimadas por tarea; no hay horas consumidas todavía, por lo que la línea "Reales" parte plana. Se actualizará día a día una vez que el sprint esté en ejecución (ver Documento_validando_Sprint_1.docx).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</si>
</sst>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2" tint="-0.1"/>
        <bgColor rgb="FFD9D9D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inicial — Sprint 1 (FitSearch)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"Reales"</c:f>
              <c:strCache>
                <c:ptCount val="1"/>
                <c:pt idx="0">
                  <c:v>Reales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'Sprint 1 - FitSearch'!$C$4:$J$4</c:f>
              <c:multiLvlStrCache>
                <c:ptCount val="1"/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'Sprint 1 - FitSearch'!$B$17:$J$17</c:f>
              <c:numCache>
                <c:formatCode>General</c:formatCode>
                <c:ptCount val="9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  <c:pt idx="5">
                  <c:v>43</c:v>
                </c:pt>
                <c:pt idx="6">
                  <c:v>31</c:v>
                </c:pt>
                <c:pt idx="7">
                  <c:v>16</c:v>
                </c:pt>
                <c:pt idx="8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"Estimadas (ideal)"</c:f>
              <c:strCache>
                <c:ptCount val="1"/>
                <c:pt idx="0">
                  <c:v>Estimadas (ideal)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'Sprint 1 - FitSearch'!$C$4:$J$4</c:f>
              <c:multiLvlStrCache>
                <c:ptCount val="1"/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'Sprint 1 - FitSearch'!$B$19:$J$19</c:f>
              <c:numCache>
                <c:formatCode>General</c:formatCode>
                <c:ptCount val="9"/>
                <c:pt idx="0">
                  <c:v>43</c:v>
                </c:pt>
                <c:pt idx="1">
                  <c:v>37.625</c:v>
                </c:pt>
                <c:pt idx="2">
                  <c:v>32.25</c:v>
                </c:pt>
                <c:pt idx="3">
                  <c:v>26.875</c:v>
                </c:pt>
                <c:pt idx="4">
                  <c:v>21.5</c:v>
                </c:pt>
                <c:pt idx="5">
                  <c:v>16.125</c:v>
                </c:pt>
                <c:pt idx="6">
                  <c:v>10.75</c:v>
                </c:pt>
                <c:pt idx="7">
                  <c:v>5.375</c:v>
                </c:pt>
                <c:pt idx="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806351"/>
        <c:axId val="68727190"/>
      </c:lineChart>
      <c:catAx>
        <c:axId val="128063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27190"/>
        <c:crosses val="autoZero"/>
        <c:auto val="1"/>
        <c:lblAlgn val="ctr"/>
        <c:lblOffset val="100"/>
        <c:noMultiLvlLbl val="0"/>
      </c:catAx>
      <c:valAx>
        <c:axId val="6872719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063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9360</xdr:rowOff>
    </xdr:from>
    <xdr:to>
      <xdr:col>8</xdr:col>
      <xdr:colOff>9720</xdr:colOff>
      <xdr:row>35</xdr:row>
      <xdr:rowOff>10440</xdr:rowOff>
    </xdr:to>
    <xdr:graphicFrame>
      <xdr:nvGraphicFramePr>
        <xdr:cNvPr id="0" name="Chart 1"/>
        <xdr:cNvGraphicFramePr/>
      </xdr:nvGraphicFramePr>
      <xdr:xfrm>
        <a:off x="0" y="3848040"/>
        <a:ext cx="71992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22" min="3" style="1" width="8"/>
  </cols>
  <sheetData>
    <row r="1" customFormat="false" ht="21" hidden="false" customHeight="true" outlineLevel="0" collapsed="false">
      <c r="A1" s="2" t="s">
        <v>0</v>
      </c>
      <c r="B1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</row>
    <row r="4" customFormat="false" ht="15" hidden="false" customHeight="true" outlineLevel="0" collapsed="false">
      <c r="A4" s="4"/>
      <c r="B4" s="4"/>
      <c r="C4" s="6" t="n">
        <v>1</v>
      </c>
      <c r="D4" s="6" t="n">
        <v>2</v>
      </c>
      <c r="E4" s="6" t="n">
        <v>3</v>
      </c>
      <c r="F4" s="6" t="n">
        <v>4</v>
      </c>
      <c r="G4" s="6" t="n">
        <v>5</v>
      </c>
      <c r="H4" s="6" t="n">
        <v>6</v>
      </c>
      <c r="I4" s="6" t="n">
        <v>7</v>
      </c>
      <c r="J4" s="6" t="n">
        <v>8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5"/>
    </row>
    <row r="5" customFormat="false" ht="23.25" hidden="false" customHeight="true" outlineLevel="0" collapsed="false">
      <c r="A5" s="8" t="inlineStr">
        <is>
          <t>FS-HU-01 — Configurar proyecto backend Node.js/Express y conexión a MySQL</t>
        </is>
      </c>
      <c r="B5" s="9" t="n">
        <v>4</v>
      </c>
      <c r="C5" s="10"/>
      <c r="D5" s="10"/>
      <c r="E5" s="10"/>
      <c r="F5" s="10"/>
      <c r="G5" s="10"/>
      <c r="H5" s="10" t="n">
        <v>2</v>
      </c>
      <c r="I5" s="10" t="n">
        <v>2</v>
      </c>
      <c r="J5" s="10"/>
      <c r="K5" s="11" t="n">
        <f aca="false">SUM(C5:J5)</f>
        <v>4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7"/>
    </row>
    <row r="6" customFormat="false" ht="23.25" hidden="false" customHeight="true" outlineLevel="0" collapsed="false">
      <c r="A6" s="22" t="inlineStr">
        <is>
          <t>FS-HU-01 — Implementar endpoints de registro, login y logout (JWT, hash de contraseña)</t>
        </is>
      </c>
      <c r="B6" s="15" t="n">
        <v>7</v>
      </c>
      <c r="C6" s="10"/>
      <c r="D6" s="10"/>
      <c r="E6" s="10"/>
      <c r="F6" s="10"/>
      <c r="G6" s="10"/>
      <c r="H6" s="10"/>
      <c r="I6" s="10" t="n">
        <v>4</v>
      </c>
      <c r="J6" s="10" t="n">
        <v>3</v>
      </c>
      <c r="K6" s="15" t="n">
        <f aca="false">SUM(C6:J6)</f>
        <v>7</v>
      </c>
    </row>
    <row r="7" customFormat="false" ht="23.25" hidden="false" customHeight="true" outlineLevel="0" collapsed="false">
      <c r="A7" s="22" t="inlineStr">
        <is>
          <t>FS-HU-01 — Construir pantallas de registro e inicio de sesión (Frontend)</t>
        </is>
      </c>
      <c r="B7" s="15" t="n">
        <v>6</v>
      </c>
      <c r="C7" s="10"/>
      <c r="D7" s="10"/>
      <c r="E7" s="10"/>
      <c r="F7" s="10"/>
      <c r="G7" s="10"/>
      <c r="H7" s="10" t="n">
        <v>2</v>
      </c>
      <c r="I7" s="10" t="n">
        <v>2</v>
      </c>
      <c r="J7" s="10" t="n">
        <v>2</v>
      </c>
      <c r="K7" s="15" t="n">
        <f aca="false">SUM(C7:J7)</f>
        <v>6</v>
      </c>
    </row>
    <row r="8" customFormat="false" ht="23.25" hidden="false" customHeight="true" outlineLevel="0" collapsed="false">
      <c r="A8" s="22" t="inlineStr">
        <is>
          <t>FS-HU-01 — Pruebas manuales de registro y login</t>
        </is>
      </c>
      <c r="B8" s="15" t="n">
        <v>2</v>
      </c>
      <c r="C8" s="10"/>
      <c r="D8" s="10"/>
      <c r="E8" s="10"/>
      <c r="F8" s="10"/>
      <c r="G8" s="10"/>
      <c r="H8" s="10"/>
      <c r="I8" s="10"/>
      <c r="J8" s="10" t="n">
        <v>2</v>
      </c>
      <c r="K8" s="15" t="n">
        <f aca="false">SUM(C8:J8)</f>
        <v>2</v>
      </c>
    </row>
    <row r="9" customFormat="false" ht="23.25" hidden="false" customHeight="true" outlineLevel="0" collapsed="false">
      <c r="A9" s="22" t="inlineStr">
        <is>
          <t>FS-HU-01 — Pruebas automatizadas de autenticación (Jest + Supertest)</t>
        </is>
      </c>
      <c r="B9" s="15" t="n">
        <v>3</v>
      </c>
      <c r="C9" s="10"/>
      <c r="D9" s="10"/>
      <c r="E9" s="10"/>
      <c r="F9" s="10"/>
      <c r="G9" s="10"/>
      <c r="H9" s="10" t="n">
        <v>1</v>
      </c>
      <c r="I9" s="10" t="n">
        <v>2</v>
      </c>
      <c r="J9" s="10"/>
      <c r="K9" s="15" t="n">
        <f aca="false">SUM(C9:J9)</f>
        <v>3</v>
      </c>
    </row>
    <row r="10" customFormat="false" ht="23.25" hidden="false" customHeight="true" outlineLevel="0" collapsed="false">
      <c r="A10" s="22" t="inlineStr">
        <is>
          <t>FS-HU-02 — Diseñar el diagrama entidad-relación completo del proyecto</t>
        </is>
      </c>
      <c r="B10" s="15" t="n">
        <v>6</v>
      </c>
      <c r="C10" s="10"/>
      <c r="D10" s="10"/>
      <c r="E10" s="10"/>
      <c r="F10" s="10"/>
      <c r="G10" s="10"/>
      <c r="H10" s="10"/>
      <c r="I10" s="10"/>
      <c r="J10" s="10" t="n">
        <v>6</v>
      </c>
      <c r="K10" s="15" t="n">
        <f aca="false">SUM(C10:J10)</f>
        <v>6</v>
      </c>
    </row>
    <row r="11" customFormat="false" ht="23.25" hidden="false" customHeight="true" outlineLevel="0" collapsed="false">
      <c r="A11" s="22" t="inlineStr">
        <is>
          <t>FS-HU-02 — Crear tablas de roles, usuarios y perfiles_usuario (migración Prisma)</t>
        </is>
      </c>
      <c r="B11" s="15" t="n">
        <v>4</v>
      </c>
      <c r="C11" s="10"/>
      <c r="D11" s="10"/>
      <c r="E11" s="10"/>
      <c r="F11" s="10"/>
      <c r="G11" s="10"/>
      <c r="H11" s="10" t="n">
        <v>2</v>
      </c>
      <c r="I11" s="10"/>
      <c r="J11" s="10" t="n">
        <v>2</v>
      </c>
      <c r="K11" s="15" t="n">
        <f aca="false">SUM(C11:J11)</f>
        <v>4</v>
      </c>
    </row>
    <row r="12" customFormat="false" ht="23.25" hidden="false" customHeight="true" outlineLevel="0" collapsed="false">
      <c r="A12" s="22" t="inlineStr">
        <is>
          <t>FS-HU-02 — Construir formulario de datos básicos del perfil (Frontend)</t>
        </is>
      </c>
      <c r="B12" s="15" t="n">
        <v>4</v>
      </c>
      <c r="C12" s="10"/>
      <c r="D12" s="10"/>
      <c r="E12" s="10"/>
      <c r="F12" s="10"/>
      <c r="G12" s="10"/>
      <c r="H12" s="10" t="n">
        <v>2</v>
      </c>
      <c r="I12" s="10" t="n">
        <v>2</v>
      </c>
      <c r="J12" s="10"/>
      <c r="K12" s="15" t="n">
        <f aca="false">SUM(C12:J12)</f>
        <v>4</v>
      </c>
    </row>
    <row r="13" customFormat="false" ht="23.25" hidden="false" customHeight="true" outlineLevel="0" collapsed="false">
      <c r="A13" s="22" t="inlineStr">
        <is>
          <t>FS-HU-02 — Documentar instrucciones de instalación en README</t>
        </is>
      </c>
      <c r="B13" s="15" t="n">
        <v>2</v>
      </c>
      <c r="C13" s="10"/>
      <c r="D13" s="10"/>
      <c r="E13" s="10"/>
      <c r="F13" s="10"/>
      <c r="G13" s="10"/>
      <c r="H13" s="10" t="n">
        <v>1</v>
      </c>
      <c r="I13" s="10"/>
      <c r="J13" s="10" t="n">
        <v>1</v>
      </c>
      <c r="K13" s="15" t="n">
        <f aca="false">SUM(C13:J13)</f>
        <v>2</v>
      </c>
    </row>
    <row r="14" customFormat="false" ht="23.25" hidden="false" customHeight="true" outlineLevel="0" collapsed="false">
      <c r="A14" s="22" t="inlineStr">
        <is>
          <t>FS-HU-02 — Implementar endpoints de consulta y actualización del perfil (GET/PUT)</t>
        </is>
      </c>
      <c r="B14" s="15" t="n">
        <v>3</v>
      </c>
      <c r="C14" s="10"/>
      <c r="D14" s="10"/>
      <c r="E14" s="10"/>
      <c r="F14" s="10"/>
      <c r="G14" s="10"/>
      <c r="H14" s="10" t="n">
        <v>2</v>
      </c>
      <c r="I14" s="10" t="n">
        <v>1</v>
      </c>
      <c r="J14" s="10"/>
      <c r="K14" s="15" t="n">
        <f aca="false">SUM(C14:J14)</f>
        <v>3</v>
      </c>
    </row>
    <row r="15" customFormat="false" ht="30" hidden="false" customHeight="true" outlineLevel="0" collapsed="false">
      <c r="A15" s="22" t="inlineStr">
        <is>
          <t>FS-HU-02 — Pruebas automatizadas del perfil (backend y Vitest)</t>
        </is>
      </c>
      <c r="B15" s="15" t="n">
        <v>2</v>
      </c>
      <c r="C15" s="10"/>
      <c r="D15" s="10"/>
      <c r="E15" s="10"/>
      <c r="F15" s="10"/>
      <c r="G15" s="10"/>
      <c r="H15" s="10"/>
      <c r="I15" s="10" t="n">
        <v>2</v>
      </c>
      <c r="J15" s="10"/>
      <c r="K15" s="15" t="n">
        <f aca="false">SUM(C15:J15)</f>
        <v>2</v>
      </c>
    </row>
    <row r="17" customFormat="false" ht="30" hidden="false" customHeight="true" outlineLevel="0" collapsed="false">
      <c r="A17" s="23" t="s">
        <v>13</v>
      </c>
      <c r="B17" s="3" t="n">
        <f aca="false">SUM(B5:B15)</f>
        <v>43</v>
      </c>
      <c r="C17" s="15" t="n">
        <f aca="false">B17-SUM(C5:C15)</f>
        <v>43</v>
      </c>
      <c r="D17" s="15" t="n">
        <f aca="false">C17-SUM(D5:D15)</f>
        <v>43</v>
      </c>
      <c r="E17" s="15" t="n">
        <f aca="false">D17-SUM(E5:E15)</f>
        <v>43</v>
      </c>
      <c r="F17" s="15" t="n">
        <f aca="false">E17-SUM(F5:F15)</f>
        <v>43</v>
      </c>
      <c r="G17" s="15" t="n">
        <f aca="false">F17-SUM(G5:G15)</f>
        <v>43</v>
      </c>
      <c r="H17" s="15" t="n">
        <f aca="false">G17-SUM(H5:H15)</f>
        <v>31</v>
      </c>
      <c r="I17" s="15" t="n">
        <f aca="false">H17-SUM(I5:I15)</f>
        <v>16</v>
      </c>
      <c r="J17" s="15" t="n">
        <f aca="false">I17-SUM(J5:J15)</f>
        <v>0</v>
      </c>
    </row>
    <row r="19" customFormat="false" ht="15" hidden="false" customHeight="true" outlineLevel="0" collapsed="false">
      <c r="A19" s="3" t="s">
        <v>14</v>
      </c>
      <c r="B19" s="24" t="n">
        <f aca="false">SUM(B5:B15)</f>
        <v>43</v>
      </c>
      <c r="C19" s="15" t="n">
        <f aca="false">B19-(SUM($B$5:$B$15)/8)</f>
        <v>37.625</v>
      </c>
      <c r="D19" s="15" t="n">
        <f aca="false">C19-(SUM($B$5:$B$15)/8)</f>
        <v>32.25</v>
      </c>
      <c r="E19" s="15" t="n">
        <f aca="false">D19-(SUM($B$5:$B$15)/8)</f>
        <v>26.875</v>
      </c>
      <c r="F19" s="15" t="n">
        <f aca="false">E19-(SUM($B$5:$B$15)/8)</f>
        <v>21.5</v>
      </c>
      <c r="G19" s="15" t="n">
        <f aca="false">F19-(SUM($B$5:$B$15)/8)</f>
        <v>16.125</v>
      </c>
      <c r="H19" s="15" t="n">
        <f aca="false">G19-(SUM($B$5:$B$15)/8)</f>
        <v>10.75</v>
      </c>
      <c r="I19" s="15" t="n">
        <f aca="false">H19-(SUM($B$5:$B$15)/8)</f>
        <v>5.375</v>
      </c>
      <c r="J19" s="15" t="n">
        <f aca="false">I19-(SUM($B$5:$B$15)/8)</f>
        <v>0</v>
      </c>
    </row>
    <row r="20" customFormat="false" ht="15" hidden="false" customHeight="true" outlineLevel="0" collapsed="false">
      <c r="B20" s="25"/>
      <c r="G20" s="25"/>
    </row>
    <row r="21" customFormat="false" ht="15" hidden="false" customHeight="true" outlineLevel="0" collapsed="false">
      <c r="B21" s="25"/>
      <c r="G21" s="25"/>
    </row>
    <row r="22" customFormat="false" ht="15" hidden="false" customHeight="true" outlineLevel="0" collapsed="false">
      <c r="B22" s="25"/>
      <c r="G22" s="25"/>
    </row>
    <row r="23" customFormat="false" ht="15" hidden="false" customHeight="true" outlineLevel="0" collapsed="false">
      <c r="B23" s="25"/>
      <c r="G23" s="25"/>
    </row>
    <row r="24" customFormat="false" ht="15" hidden="false" customHeight="true" outlineLevel="0" collapsed="false">
      <c r="B24" s="25"/>
      <c r="G24" s="25"/>
    </row>
    <row r="25" customFormat="false" ht="15" hidden="false" customHeight="true" outlineLevel="0" collapsed="false">
      <c r="B25" s="25"/>
      <c r="G25" s="25"/>
    </row>
    <row r="26" customFormat="false" ht="15" hidden="false" customHeight="true" outlineLevel="0" collapsed="false">
      <c r="B26" s="25"/>
    </row>
    <row r="27" customFormat="false" ht="15" hidden="false" customHeight="true" outlineLevel="0" collapsed="false">
      <c r="B27" s="25"/>
    </row>
    <row r="28" customFormat="false" ht="15" hidden="false" customHeight="true" outlineLevel="0" collapsed="false">
      <c r="B28" s="25"/>
    </row>
    <row r="41" customFormat="false" ht="15" hidden="false" customHeight="true" outlineLevel="0" collapsed="false">
      <c r="A41" s="26" t="inlineStr">
        <is>
          <t>Nota: burndown del Sprint 1 (semanas 5-6). Actualizado el 14-09-2026: se agregaron 3 tareas (pruebas automatizadas de autenticación, endpoints de perfil y pruebas del perfil) y se ajustaron 2 estimaciones, pasando de 33 h a 43 h con carga pareja entre los integrantes. Horas reales: día 6 (14-09-2026) 12 h, día 7 (15-09-2026) 15 h y día 8 (20-09-2026) 16 h, completando las 43 h estimadas: Luis Méndez 15 h, Rodrigo Cárcamo Rojas 14 h y Nicolás Silva 14 h.</t>
        </is>
      </c>
      <c r="B41" s="26"/>
      <c r="C41" s="26"/>
      <c r="D41" s="26"/>
      <c r="E41" s="26"/>
      <c r="F41" s="26"/>
      <c r="G41" s="26"/>
      <c r="H41" s="26"/>
      <c r="I41" s="26"/>
      <c r="J41" s="26"/>
    </row>
    <row r="42" customFormat="false" ht="15" hidden="false" customHeight="true" outlineLevel="0" collapsed="false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customFormat="false" ht="15" hidden="false" customHeight="true" outlineLevel="0" collapsed="false">
      <c r="A43" s="26"/>
      <c r="B43" s="26"/>
      <c r="C43" s="26"/>
      <c r="D43" s="26"/>
      <c r="E43" s="26"/>
      <c r="F43" s="26"/>
      <c r="G43" s="26"/>
      <c r="H43" s="26"/>
      <c r="I43" s="26"/>
      <c r="J43" s="26"/>
    </row>
  </sheetData>
  <mergeCells count="5">
    <mergeCell ref="A3:A4"/>
    <mergeCell ref="B3:B4"/>
    <mergeCell ref="C3:V3"/>
    <mergeCell ref="W3:W4"/>
    <mergeCell ref="A41:J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  <dc:description/>
  <dc:language>en-US</dc:language>
  <cp:lastModifiedBy/>
  <dcterms:modified xsi:type="dcterms:W3CDTF">2026-09-08T00:47:29Z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